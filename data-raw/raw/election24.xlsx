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source/socviz/data-raw/raw/"/>
    </mc:Choice>
  </mc:AlternateContent>
  <xr:revisionPtr revIDLastSave="0" documentId="13_ncr:1_{C36DD377-1FD2-2246-93D0-9E75681E7788}" xr6:coauthVersionLast="47" xr6:coauthVersionMax="47" xr10:uidLastSave="{00000000-0000-0000-0000-000000000000}"/>
  <bookViews>
    <workbookView xWindow="2240" yWindow="700" windowWidth="45680" windowHeight="24860" xr2:uid="{E2925DBD-1150-4B4A-9F9A-3761063745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" i="1" l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<sst xmlns="http://schemas.openxmlformats.org/spreadsheetml/2006/main" count="74" uniqueCount="74">
  <si>
    <t>state</t>
  </si>
  <si>
    <t>votes_trump</t>
  </si>
  <si>
    <t>pct_trump</t>
  </si>
  <si>
    <t>votes_harris</t>
  </si>
  <si>
    <t>pct_harris</t>
  </si>
  <si>
    <t>votes_stein</t>
  </si>
  <si>
    <t>pct_stein</t>
  </si>
  <si>
    <t>ev_stein</t>
  </si>
  <si>
    <t>votes_kennedy</t>
  </si>
  <si>
    <t>pct_kennedy</t>
  </si>
  <si>
    <t>ev_kennedy</t>
  </si>
  <si>
    <t>votes_oliver</t>
  </si>
  <si>
    <t>pct_oliver</t>
  </si>
  <si>
    <t>ev_oliver</t>
  </si>
  <si>
    <t>votes_other</t>
  </si>
  <si>
    <t>pct_other</t>
  </si>
  <si>
    <t>ev_other</t>
  </si>
  <si>
    <t>margin_swing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</si>
  <si>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</si>
  <si>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</si>
  <si>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</si>
  <si>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</si>
  <si>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</si>
  <si>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</si>
  <si>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</si>
  <si>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</si>
  <si>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</si>
  <si>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</si>
  <si>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</si>
  <si>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</si>
  <si>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</si>
  <si>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</si>
  <si>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</si>
  <si>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</si>
  <si>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</si>
  <si>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</si>
  <si>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</si>
  <si>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</si>
  <si>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</si>
  <si>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</si>
  <si>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</si>
  <si>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</si>
  <si>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</si>
  <si>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</si>
  <si>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</si>
  <si>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</si>
  <si>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</si>
  <si>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</si>
  <si>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</si>
  <si>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</si>
  <si>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</si>
  <si>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</si>
  <si>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</si>
  <si>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</si>
  <si>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</si>
  <si>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</si>
  <si>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</si>
  <si>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</si>
  <si>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</si>
  <si>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</si>
  <si>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</si>
  <si>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</si>
  <si>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</si>
  <si>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</si>
  <si>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</si>
  <si>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</si>
  <si>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Maine</t>
  </si>
  <si>
    <t>Nebraska</t>
  </si>
  <si>
    <t>District of Columbia</t>
  </si>
  <si>
    <t>ev_rep</t>
  </si>
  <si>
    <t>ev_dem</t>
  </si>
  <si>
    <t>total_vote</t>
  </si>
  <si>
    <t>vote_margin</t>
  </si>
  <si>
    <t>pct_margin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</si>
</sst>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2CAB-1DFD-FF4B-9D30-62BF41B974FC}">
  <dimension ref="A1:W52"/>
  <sheetViews>
    <sheetView tabSelected="1" workbookViewId="0">
      <selection activeCell="U1" sqref="U1"/>
    </sheetView>
  </sheetViews>
  <sheetFormatPr baseColWidth="10" defaultRowHeight="16" x14ac:dyDescent="0.2"/>
  <cols>
    <col min="1" max="1" width="14.5" bestFit="1" customWidth="1"/>
    <col min="20" max="20" width="11.8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69</v>
      </c>
      <c r="E1" t="s">
        <v>3</v>
      </c>
      <c r="F1" t="s">
        <v>4</v>
      </c>
      <c r="G1" t="s">
        <v>70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72</v>
      </c>
      <c r="U1" t="s">
        <v>73</v>
      </c>
      <c r="V1" t="s">
        <v>17</v>
      </c>
      <c r="W1" t="s">
        <v>71</v>
      </c>
    </row>
    <row r="2" spans="1:23" x14ac:dyDescent="0.2">
      <c r="A2" t="s">
        <v>18</v>
      </c>
      <c r="B2">
        <v>1462616</v>
      </c>
      <c r="C2">
        <v>0.64570000000000005</v>
      </c>
      <c r="D2">
        <v>9</v>
      </c>
      <c r="E2">
        <v>772412</v>
      </c>
      <c r="F2">
        <v>0.34100000000000003</v>
      </c>
      <c r="G2">
        <v>0</v>
      </c>
      <c r="H2">
        <v>4319</v>
      </c>
      <c r="I2">
        <v>1.9E-3</v>
      </c>
      <c r="J2">
        <v>0</v>
      </c>
      <c r="K2">
        <v>12075</v>
      </c>
      <c r="L2">
        <v>5.3E-3</v>
      </c>
      <c r="M2">
        <v>0</v>
      </c>
      <c r="N2">
        <v>4930</v>
      </c>
      <c r="O2">
        <v>2.2000000000000001E-3</v>
      </c>
      <c r="P2">
        <v>0</v>
      </c>
      <c r="Q2">
        <v>8738</v>
      </c>
      <c r="R2">
        <v>3.8999999999999998E-3</v>
      </c>
      <c r="S2">
        <v>0</v>
      </c>
      <c r="T2">
        <v>690204</v>
      </c>
      <c r="U2">
        <f>T2/W2</f>
        <v>0.30471371998463637</v>
      </c>
      <c r="V2">
        <v>5.0099999999999999E-2</v>
      </c>
      <c r="W2">
        <v>2265090</v>
      </c>
    </row>
    <row r="3" spans="1:23" x14ac:dyDescent="0.2">
      <c r="A3" t="s">
        <v>19</v>
      </c>
      <c r="B3">
        <v>184458</v>
      </c>
      <c r="C3">
        <v>0.5454</v>
      </c>
      <c r="D3">
        <v>3</v>
      </c>
      <c r="E3">
        <v>140026</v>
      </c>
      <c r="F3">
        <v>0.41410000000000002</v>
      </c>
      <c r="G3">
        <v>0</v>
      </c>
      <c r="H3">
        <v>2342</v>
      </c>
      <c r="I3">
        <v>6.8999999999999999E-3</v>
      </c>
      <c r="J3">
        <v>0</v>
      </c>
      <c r="K3">
        <v>5670</v>
      </c>
      <c r="L3">
        <v>1.6799999999999999E-2</v>
      </c>
      <c r="M3">
        <v>0</v>
      </c>
      <c r="N3">
        <v>3040</v>
      </c>
      <c r="O3">
        <v>8.9999999999999993E-3</v>
      </c>
      <c r="P3">
        <v>0</v>
      </c>
      <c r="Q3">
        <v>2641</v>
      </c>
      <c r="R3">
        <v>7.7999999999999996E-3</v>
      </c>
      <c r="S3">
        <v>0</v>
      </c>
      <c r="T3">
        <v>44432</v>
      </c>
      <c r="U3">
        <f>T3/W3</f>
        <v>0.13138681814552733</v>
      </c>
      <c r="V3">
        <v>3.0700000000000002E-2</v>
      </c>
      <c r="W3">
        <v>338177</v>
      </c>
    </row>
    <row r="4" spans="1:23" x14ac:dyDescent="0.2">
      <c r="A4" t="s">
        <v>20</v>
      </c>
      <c r="B4">
        <v>1770242</v>
      </c>
      <c r="C4">
        <v>0.5222</v>
      </c>
      <c r="D4">
        <v>11</v>
      </c>
      <c r="E4">
        <v>1582860</v>
      </c>
      <c r="F4">
        <v>0.46689999999999998</v>
      </c>
      <c r="G4">
        <v>0</v>
      </c>
      <c r="H4">
        <v>18319</v>
      </c>
      <c r="I4">
        <v>5.4000000000000003E-3</v>
      </c>
      <c r="J4">
        <v>0</v>
      </c>
      <c r="K4">
        <v>0</v>
      </c>
      <c r="L4">
        <v>0</v>
      </c>
      <c r="M4">
        <v>0</v>
      </c>
      <c r="N4">
        <v>17898</v>
      </c>
      <c r="O4">
        <v>5.3E-3</v>
      </c>
      <c r="P4">
        <v>0</v>
      </c>
      <c r="Q4">
        <v>842</v>
      </c>
      <c r="R4">
        <v>2.0000000000000001E-4</v>
      </c>
      <c r="S4">
        <v>0</v>
      </c>
      <c r="T4">
        <v>187382</v>
      </c>
      <c r="U4">
        <f>T4/W4</f>
        <v>5.5272301226991873E-2</v>
      </c>
      <c r="V4">
        <v>5.8400000000000001E-2</v>
      </c>
      <c r="W4">
        <v>3390161</v>
      </c>
    </row>
    <row r="5" spans="1:23" x14ac:dyDescent="0.2">
      <c r="A5" t="s">
        <v>21</v>
      </c>
      <c r="B5">
        <v>759241</v>
      </c>
      <c r="C5">
        <v>0.64200000000000002</v>
      </c>
      <c r="D5">
        <v>6</v>
      </c>
      <c r="E5">
        <v>396905</v>
      </c>
      <c r="F5">
        <v>0.33560000000000001</v>
      </c>
      <c r="G5">
        <v>0</v>
      </c>
      <c r="H5">
        <v>4275</v>
      </c>
      <c r="I5">
        <v>3.5999999999999999E-3</v>
      </c>
      <c r="J5">
        <v>0</v>
      </c>
      <c r="K5">
        <v>13255</v>
      </c>
      <c r="L5">
        <v>1.12E-2</v>
      </c>
      <c r="M5">
        <v>0</v>
      </c>
      <c r="N5">
        <v>5715</v>
      </c>
      <c r="O5">
        <v>4.7999999999999996E-3</v>
      </c>
      <c r="P5">
        <v>0</v>
      </c>
      <c r="Q5">
        <v>3285</v>
      </c>
      <c r="R5">
        <v>2.8E-3</v>
      </c>
      <c r="S5">
        <v>0</v>
      </c>
      <c r="T5">
        <v>362336</v>
      </c>
      <c r="U5">
        <f>T5/W5</f>
        <v>0.30636962278764429</v>
      </c>
      <c r="V5">
        <v>3.0200000000000001E-2</v>
      </c>
      <c r="W5">
        <v>1182676</v>
      </c>
    </row>
    <row r="6" spans="1:23" x14ac:dyDescent="0.2">
      <c r="A6" t="s">
        <v>22</v>
      </c>
      <c r="B6">
        <v>6081697</v>
      </c>
      <c r="C6">
        <v>0.38329999999999997</v>
      </c>
      <c r="D6">
        <v>0</v>
      </c>
      <c r="E6">
        <v>9276179</v>
      </c>
      <c r="F6">
        <v>0.5847</v>
      </c>
      <c r="G6">
        <v>54</v>
      </c>
      <c r="H6">
        <v>167814</v>
      </c>
      <c r="I6">
        <v>1.06E-2</v>
      </c>
      <c r="J6">
        <v>0</v>
      </c>
      <c r="K6">
        <v>197645</v>
      </c>
      <c r="L6">
        <v>1.2500000000000001E-2</v>
      </c>
      <c r="M6">
        <v>0</v>
      </c>
      <c r="N6">
        <v>66662</v>
      </c>
      <c r="O6">
        <v>4.1999999999999997E-3</v>
      </c>
      <c r="P6">
        <v>0</v>
      </c>
      <c r="Q6">
        <v>75478</v>
      </c>
      <c r="R6">
        <v>4.7999999999999996E-3</v>
      </c>
      <c r="S6">
        <v>0</v>
      </c>
      <c r="T6">
        <v>-3194482</v>
      </c>
      <c r="U6">
        <f>T6/W6</f>
        <v>-0.20134802141127195</v>
      </c>
      <c r="V6">
        <v>9.0200000000000002E-2</v>
      </c>
      <c r="W6">
        <v>15865475</v>
      </c>
    </row>
    <row r="7" spans="1:23" x14ac:dyDescent="0.2">
      <c r="A7" t="s">
        <v>23</v>
      </c>
      <c r="B7">
        <v>1377441</v>
      </c>
      <c r="C7">
        <v>0.43140000000000001</v>
      </c>
      <c r="D7">
        <v>0</v>
      </c>
      <c r="E7">
        <v>1728159</v>
      </c>
      <c r="F7">
        <v>0.5413</v>
      </c>
      <c r="G7">
        <v>10</v>
      </c>
      <c r="H7">
        <v>17344</v>
      </c>
      <c r="I7">
        <v>5.4000000000000003E-3</v>
      </c>
      <c r="J7">
        <v>0</v>
      </c>
      <c r="K7">
        <v>35623</v>
      </c>
      <c r="L7">
        <v>1.12E-2</v>
      </c>
      <c r="M7">
        <v>0</v>
      </c>
      <c r="N7">
        <v>21439</v>
      </c>
      <c r="O7">
        <v>6.7000000000000002E-3</v>
      </c>
      <c r="P7">
        <v>0</v>
      </c>
      <c r="Q7">
        <v>12739</v>
      </c>
      <c r="R7">
        <v>4.0000000000000001E-3</v>
      </c>
      <c r="S7">
        <v>0</v>
      </c>
      <c r="T7">
        <v>-350718</v>
      </c>
      <c r="U7">
        <f>T7/W7</f>
        <v>-0.10984842196918326</v>
      </c>
      <c r="V7">
        <v>2.5100000000000001E-2</v>
      </c>
      <c r="W7">
        <v>3192745</v>
      </c>
    </row>
    <row r="8" spans="1:23" x14ac:dyDescent="0.2">
      <c r="A8" t="s">
        <v>24</v>
      </c>
      <c r="B8">
        <v>736918</v>
      </c>
      <c r="C8">
        <v>0.41889999999999999</v>
      </c>
      <c r="D8">
        <v>0</v>
      </c>
      <c r="E8">
        <v>992053</v>
      </c>
      <c r="F8">
        <v>0.56399999999999995</v>
      </c>
      <c r="G8">
        <v>7</v>
      </c>
      <c r="H8">
        <v>14281</v>
      </c>
      <c r="I8">
        <v>8.0999999999999996E-3</v>
      </c>
      <c r="J8">
        <v>0</v>
      </c>
      <c r="K8">
        <v>8448</v>
      </c>
      <c r="L8">
        <v>4.7999999999999996E-3</v>
      </c>
      <c r="M8">
        <v>0</v>
      </c>
      <c r="N8">
        <v>6729</v>
      </c>
      <c r="O8">
        <v>3.8E-3</v>
      </c>
      <c r="P8">
        <v>0</v>
      </c>
      <c r="Q8">
        <v>581</v>
      </c>
      <c r="R8">
        <v>2.9999999999999997E-4</v>
      </c>
      <c r="S8">
        <v>0</v>
      </c>
      <c r="T8">
        <v>-255135</v>
      </c>
      <c r="U8">
        <f>T8/W8</f>
        <v>-0.14504465580070608</v>
      </c>
      <c r="V8">
        <v>5.5599999999999997E-2</v>
      </c>
      <c r="W8">
        <v>1759010</v>
      </c>
    </row>
    <row r="9" spans="1:23" x14ac:dyDescent="0.2">
      <c r="A9" t="s">
        <v>68</v>
      </c>
      <c r="B9">
        <v>21076</v>
      </c>
      <c r="C9">
        <v>6.4699999999999994E-2</v>
      </c>
      <c r="D9">
        <v>0</v>
      </c>
      <c r="E9">
        <v>294185</v>
      </c>
      <c r="F9">
        <v>0.90280000000000005</v>
      </c>
      <c r="G9">
        <v>3</v>
      </c>
      <c r="H9">
        <v>0</v>
      </c>
      <c r="I9">
        <v>0</v>
      </c>
      <c r="J9">
        <v>0</v>
      </c>
      <c r="K9">
        <v>2778</v>
      </c>
      <c r="L9">
        <v>8.5000000000000006E-3</v>
      </c>
      <c r="M9">
        <v>0</v>
      </c>
      <c r="N9">
        <v>0</v>
      </c>
      <c r="O9">
        <v>0</v>
      </c>
      <c r="P9">
        <v>0</v>
      </c>
      <c r="Q9">
        <v>7830</v>
      </c>
      <c r="R9">
        <v>2.4E-2</v>
      </c>
      <c r="S9">
        <v>0</v>
      </c>
      <c r="T9">
        <v>-273109</v>
      </c>
      <c r="U9">
        <f>T9/W9</f>
        <v>-0.83809444899637586</v>
      </c>
      <c r="V9">
        <v>2.9399999999999999E-2</v>
      </c>
      <c r="W9">
        <v>325869</v>
      </c>
    </row>
    <row r="10" spans="1:23" x14ac:dyDescent="0.2">
      <c r="A10" t="s">
        <v>25</v>
      </c>
      <c r="B10">
        <v>214351</v>
      </c>
      <c r="C10">
        <v>0.41789999999999999</v>
      </c>
      <c r="D10">
        <v>0</v>
      </c>
      <c r="E10">
        <v>289758</v>
      </c>
      <c r="F10">
        <v>0.56489999999999996</v>
      </c>
      <c r="G10">
        <v>3</v>
      </c>
      <c r="H10">
        <v>914</v>
      </c>
      <c r="I10">
        <v>1.8E-3</v>
      </c>
      <c r="J10">
        <v>0</v>
      </c>
      <c r="K10">
        <v>4636</v>
      </c>
      <c r="L10">
        <v>8.9999999999999993E-3</v>
      </c>
      <c r="M10">
        <v>0</v>
      </c>
      <c r="N10">
        <v>2038</v>
      </c>
      <c r="O10">
        <v>4.0000000000000001E-3</v>
      </c>
      <c r="P10">
        <v>0</v>
      </c>
      <c r="Q10">
        <v>1215</v>
      </c>
      <c r="R10">
        <v>2.3999999999999998E-3</v>
      </c>
      <c r="S10">
        <v>0</v>
      </c>
      <c r="T10">
        <v>-75407</v>
      </c>
      <c r="U10">
        <f>T10/W10</f>
        <v>-0.1470174220918988</v>
      </c>
      <c r="V10">
        <v>4.2700000000000002E-2</v>
      </c>
      <c r="W10">
        <v>512912</v>
      </c>
    </row>
    <row r="11" spans="1:23" x14ac:dyDescent="0.2">
      <c r="A11" t="s">
        <v>26</v>
      </c>
      <c r="B11">
        <v>6110125</v>
      </c>
      <c r="C11">
        <v>0.56089999999999995</v>
      </c>
      <c r="D11">
        <v>30</v>
      </c>
      <c r="E11">
        <v>4683038</v>
      </c>
      <c r="F11">
        <v>0.4299</v>
      </c>
      <c r="G11">
        <v>0</v>
      </c>
      <c r="H11">
        <v>43155</v>
      </c>
      <c r="I11">
        <v>4.0000000000000001E-3</v>
      </c>
      <c r="J11">
        <v>0</v>
      </c>
      <c r="K11">
        <v>0</v>
      </c>
      <c r="L11">
        <v>0</v>
      </c>
      <c r="M11">
        <v>0</v>
      </c>
      <c r="N11">
        <v>31972</v>
      </c>
      <c r="O11">
        <v>2.8999999999999998E-3</v>
      </c>
      <c r="P11">
        <v>0</v>
      </c>
      <c r="Q11">
        <v>25462</v>
      </c>
      <c r="R11">
        <v>2.3E-3</v>
      </c>
      <c r="S11">
        <v>0</v>
      </c>
      <c r="T11">
        <v>1427087</v>
      </c>
      <c r="U11">
        <f>T11/W11</f>
        <v>0.13100050377500791</v>
      </c>
      <c r="V11">
        <v>9.74E-2</v>
      </c>
      <c r="W11">
        <v>10893752</v>
      </c>
    </row>
    <row r="12" spans="1:23" x14ac:dyDescent="0.2">
      <c r="A12" t="s">
        <v>27</v>
      </c>
      <c r="B12">
        <v>2663117</v>
      </c>
      <c r="C12">
        <v>0.50719999999999998</v>
      </c>
      <c r="D12">
        <v>16</v>
      </c>
      <c r="E12">
        <v>2548017</v>
      </c>
      <c r="F12">
        <v>0.48530000000000001</v>
      </c>
      <c r="G12">
        <v>0</v>
      </c>
      <c r="H12">
        <v>18229</v>
      </c>
      <c r="I12">
        <v>3.5000000000000001E-3</v>
      </c>
      <c r="J12">
        <v>0</v>
      </c>
      <c r="K12">
        <v>0</v>
      </c>
      <c r="L12">
        <v>0</v>
      </c>
      <c r="M12">
        <v>0</v>
      </c>
      <c r="N12">
        <v>20684</v>
      </c>
      <c r="O12">
        <v>3.8999999999999998E-3</v>
      </c>
      <c r="P12">
        <v>0</v>
      </c>
      <c r="Q12">
        <v>858</v>
      </c>
      <c r="R12">
        <v>2.0000000000000001E-4</v>
      </c>
      <c r="S12">
        <v>0</v>
      </c>
      <c r="T12">
        <v>115100</v>
      </c>
      <c r="U12">
        <f>T12/W12</f>
        <v>2.1920030928001936E-2</v>
      </c>
      <c r="V12">
        <v>2.4199999999999999E-2</v>
      </c>
      <c r="W12">
        <v>5250905</v>
      </c>
    </row>
    <row r="13" spans="1:23" x14ac:dyDescent="0.2">
      <c r="A13" t="s">
        <v>28</v>
      </c>
      <c r="B13">
        <v>193661</v>
      </c>
      <c r="C13">
        <v>0.37480000000000002</v>
      </c>
      <c r="D13">
        <v>0</v>
      </c>
      <c r="E13">
        <v>313044</v>
      </c>
      <c r="F13">
        <v>0.60589999999999999</v>
      </c>
      <c r="G13">
        <v>4</v>
      </c>
      <c r="H13">
        <v>4387</v>
      </c>
      <c r="I13">
        <v>8.5000000000000006E-3</v>
      </c>
      <c r="J13">
        <v>0</v>
      </c>
      <c r="K13">
        <v>0</v>
      </c>
      <c r="L13">
        <v>0</v>
      </c>
      <c r="M13">
        <v>0</v>
      </c>
      <c r="N13">
        <v>2733</v>
      </c>
      <c r="O13">
        <v>5.3E-3</v>
      </c>
      <c r="P13">
        <v>0</v>
      </c>
      <c r="Q13">
        <v>2876</v>
      </c>
      <c r="R13">
        <v>5.5999999999999999E-3</v>
      </c>
      <c r="S13">
        <v>0</v>
      </c>
      <c r="T13">
        <v>-119383</v>
      </c>
      <c r="U13">
        <f>T13/W13</f>
        <v>-0.23104851742110041</v>
      </c>
      <c r="V13">
        <v>6.3500000000000001E-2</v>
      </c>
      <c r="W13">
        <v>516701</v>
      </c>
    </row>
    <row r="14" spans="1:23" x14ac:dyDescent="0.2">
      <c r="A14" t="s">
        <v>29</v>
      </c>
      <c r="B14">
        <v>605246</v>
      </c>
      <c r="C14">
        <v>0.66869999999999996</v>
      </c>
      <c r="D14">
        <v>4</v>
      </c>
      <c r="E14">
        <v>274972</v>
      </c>
      <c r="F14">
        <v>0.30380000000000001</v>
      </c>
      <c r="G14">
        <v>0</v>
      </c>
      <c r="H14">
        <v>2973</v>
      </c>
      <c r="I14">
        <v>3.3E-3</v>
      </c>
      <c r="J14">
        <v>0</v>
      </c>
      <c r="K14">
        <v>12812</v>
      </c>
      <c r="L14">
        <v>1.4200000000000001E-2</v>
      </c>
      <c r="M14">
        <v>0</v>
      </c>
      <c r="N14">
        <v>4462</v>
      </c>
      <c r="O14">
        <v>4.8999999999999998E-3</v>
      </c>
      <c r="P14">
        <v>0</v>
      </c>
      <c r="Q14">
        <v>4592</v>
      </c>
      <c r="R14">
        <v>5.1000000000000004E-3</v>
      </c>
      <c r="S14">
        <v>0</v>
      </c>
      <c r="T14">
        <v>330274</v>
      </c>
      <c r="U14">
        <f>T14/W14</f>
        <v>0.36492066245551386</v>
      </c>
      <c r="V14">
        <v>5.7200000000000001E-2</v>
      </c>
      <c r="W14">
        <v>905057</v>
      </c>
    </row>
    <row r="15" spans="1:23" x14ac:dyDescent="0.2">
      <c r="A15" t="s">
        <v>30</v>
      </c>
      <c r="B15">
        <v>2449079</v>
      </c>
      <c r="C15">
        <v>0.43469999999999998</v>
      </c>
      <c r="D15">
        <v>0</v>
      </c>
      <c r="E15">
        <v>3062863</v>
      </c>
      <c r="F15">
        <v>0.54369999999999996</v>
      </c>
      <c r="G15">
        <v>19</v>
      </c>
      <c r="H15">
        <v>31023</v>
      </c>
      <c r="I15">
        <v>5.4999999999999997E-3</v>
      </c>
      <c r="J15">
        <v>0</v>
      </c>
      <c r="K15">
        <v>80426</v>
      </c>
      <c r="L15">
        <v>1.43E-2</v>
      </c>
      <c r="M15">
        <v>0</v>
      </c>
      <c r="N15">
        <v>3510</v>
      </c>
      <c r="O15">
        <v>5.9999999999999995E-4</v>
      </c>
      <c r="P15">
        <v>0</v>
      </c>
      <c r="Q15">
        <v>6409</v>
      </c>
      <c r="R15">
        <v>1.1000000000000001E-3</v>
      </c>
      <c r="S15">
        <v>0</v>
      </c>
      <c r="T15">
        <v>-613784</v>
      </c>
      <c r="U15">
        <f>T15/W15</f>
        <v>-0.10895619094280272</v>
      </c>
      <c r="V15">
        <v>6.0900000000000003E-2</v>
      </c>
      <c r="W15">
        <v>5633310</v>
      </c>
    </row>
    <row r="16" spans="1:23" x14ac:dyDescent="0.2">
      <c r="A16" t="s">
        <v>31</v>
      </c>
      <c r="B16">
        <v>1720347</v>
      </c>
      <c r="C16">
        <v>0.58579999999999999</v>
      </c>
      <c r="D16">
        <v>11</v>
      </c>
      <c r="E16">
        <v>1163603</v>
      </c>
      <c r="F16">
        <v>0.3962</v>
      </c>
      <c r="G16">
        <v>0</v>
      </c>
      <c r="H16">
        <v>0</v>
      </c>
      <c r="I16">
        <v>0</v>
      </c>
      <c r="J16">
        <v>0</v>
      </c>
      <c r="K16">
        <v>29325</v>
      </c>
      <c r="L16">
        <v>0.01</v>
      </c>
      <c r="M16">
        <v>0</v>
      </c>
      <c r="N16">
        <v>20425</v>
      </c>
      <c r="O16">
        <v>7.0000000000000001E-3</v>
      </c>
      <c r="P16">
        <v>0</v>
      </c>
      <c r="Q16">
        <v>2977</v>
      </c>
      <c r="R16">
        <v>1E-3</v>
      </c>
      <c r="S16">
        <v>0</v>
      </c>
      <c r="T16">
        <v>556744</v>
      </c>
      <c r="U16">
        <f>T16/W16</f>
        <v>0.18958298784646729</v>
      </c>
      <c r="V16">
        <v>2.8899999999999999E-2</v>
      </c>
      <c r="W16">
        <v>2936677</v>
      </c>
    </row>
    <row r="17" spans="1:23" x14ac:dyDescent="0.2">
      <c r="A17" t="s">
        <v>32</v>
      </c>
      <c r="B17">
        <v>927019</v>
      </c>
      <c r="C17">
        <v>0.55730000000000002</v>
      </c>
      <c r="D17">
        <v>6</v>
      </c>
      <c r="E17">
        <v>707278</v>
      </c>
      <c r="F17">
        <v>0.42520000000000002</v>
      </c>
      <c r="G17">
        <v>0</v>
      </c>
      <c r="H17">
        <v>0</v>
      </c>
      <c r="I17">
        <v>0</v>
      </c>
      <c r="J17">
        <v>0</v>
      </c>
      <c r="K17">
        <v>13122</v>
      </c>
      <c r="L17">
        <v>7.9000000000000008E-3</v>
      </c>
      <c r="M17">
        <v>0</v>
      </c>
      <c r="N17">
        <v>7218</v>
      </c>
      <c r="O17">
        <v>4.3E-3</v>
      </c>
      <c r="P17">
        <v>0</v>
      </c>
      <c r="Q17">
        <v>8869</v>
      </c>
      <c r="R17">
        <v>5.3E-3</v>
      </c>
      <c r="S17">
        <v>0</v>
      </c>
      <c r="T17">
        <v>219741</v>
      </c>
      <c r="U17">
        <f>T17/W17</f>
        <v>0.13209510515742054</v>
      </c>
      <c r="V17">
        <v>5.0099999999999999E-2</v>
      </c>
      <c r="W17">
        <v>1663506</v>
      </c>
    </row>
    <row r="18" spans="1:23" x14ac:dyDescent="0.2">
      <c r="A18" t="s">
        <v>33</v>
      </c>
      <c r="B18">
        <v>758802</v>
      </c>
      <c r="C18">
        <v>0.5716</v>
      </c>
      <c r="D18">
        <v>6</v>
      </c>
      <c r="E18">
        <v>544853</v>
      </c>
      <c r="F18">
        <v>0.41039999999999999</v>
      </c>
      <c r="G18">
        <v>0</v>
      </c>
      <c r="H18">
        <v>0</v>
      </c>
      <c r="I18">
        <v>0</v>
      </c>
      <c r="J18">
        <v>0</v>
      </c>
      <c r="K18">
        <v>16322</v>
      </c>
      <c r="L18">
        <v>1.23E-2</v>
      </c>
      <c r="M18">
        <v>0</v>
      </c>
      <c r="N18">
        <v>7614</v>
      </c>
      <c r="O18">
        <v>5.7000000000000002E-3</v>
      </c>
      <c r="P18">
        <v>0</v>
      </c>
      <c r="Q18">
        <v>0</v>
      </c>
      <c r="R18">
        <v>0</v>
      </c>
      <c r="S18">
        <v>0</v>
      </c>
      <c r="T18">
        <v>213949</v>
      </c>
      <c r="U18">
        <f>T18/W18</f>
        <v>0.16115580777513558</v>
      </c>
      <c r="V18">
        <v>1.4800000000000001E-2</v>
      </c>
      <c r="W18">
        <v>1327591</v>
      </c>
    </row>
    <row r="19" spans="1:23" x14ac:dyDescent="0.2">
      <c r="A19" t="s">
        <v>34</v>
      </c>
      <c r="B19">
        <v>1337494</v>
      </c>
      <c r="C19">
        <v>0.64470000000000005</v>
      </c>
      <c r="D19">
        <v>8</v>
      </c>
      <c r="E19">
        <v>704043</v>
      </c>
      <c r="F19">
        <v>0.33939999999999998</v>
      </c>
      <c r="G19">
        <v>0</v>
      </c>
      <c r="H19">
        <v>7566</v>
      </c>
      <c r="I19">
        <v>3.5999999999999999E-3</v>
      </c>
      <c r="J19">
        <v>0</v>
      </c>
      <c r="K19">
        <v>16769</v>
      </c>
      <c r="L19">
        <v>8.0999999999999996E-3</v>
      </c>
      <c r="M19">
        <v>0</v>
      </c>
      <c r="N19">
        <v>6422</v>
      </c>
      <c r="O19">
        <v>3.0999999999999999E-3</v>
      </c>
      <c r="P19">
        <v>0</v>
      </c>
      <c r="Q19">
        <v>2236</v>
      </c>
      <c r="R19">
        <v>1.1000000000000001E-3</v>
      </c>
      <c r="S19">
        <v>0</v>
      </c>
      <c r="T19">
        <v>633451</v>
      </c>
      <c r="U19">
        <f>T19/W19</f>
        <v>0.30534675324049304</v>
      </c>
      <c r="V19">
        <v>4.5900000000000003E-2</v>
      </c>
      <c r="W19">
        <v>2074530</v>
      </c>
    </row>
    <row r="20" spans="1:23" x14ac:dyDescent="0.2">
      <c r="A20" t="s">
        <v>35</v>
      </c>
      <c r="B20">
        <v>1208505</v>
      </c>
      <c r="C20">
        <v>0.60219999999999996</v>
      </c>
      <c r="D20">
        <v>8</v>
      </c>
      <c r="E20">
        <v>766870</v>
      </c>
      <c r="F20">
        <v>0.3821</v>
      </c>
      <c r="G20">
        <v>0</v>
      </c>
      <c r="H20">
        <v>7138</v>
      </c>
      <c r="I20">
        <v>3.5999999999999999E-3</v>
      </c>
      <c r="J20">
        <v>0</v>
      </c>
      <c r="K20">
        <v>6641</v>
      </c>
      <c r="L20">
        <v>3.0000000000000001E-3</v>
      </c>
      <c r="M20">
        <v>0</v>
      </c>
      <c r="N20">
        <v>6835</v>
      </c>
      <c r="O20">
        <v>3.3999999999999998E-3</v>
      </c>
      <c r="P20">
        <v>0</v>
      </c>
      <c r="Q20">
        <v>10986</v>
      </c>
      <c r="R20">
        <v>5.4999999999999997E-3</v>
      </c>
      <c r="S20">
        <v>0</v>
      </c>
      <c r="T20">
        <v>441635</v>
      </c>
      <c r="U20">
        <f>T20/W20</f>
        <v>0.22005007536217441</v>
      </c>
      <c r="V20">
        <v>3.4000000000000002E-2</v>
      </c>
      <c r="W20">
        <v>2006975</v>
      </c>
    </row>
    <row r="21" spans="1:23" x14ac:dyDescent="0.2">
      <c r="A21" t="s">
        <v>66</v>
      </c>
      <c r="B21">
        <v>377977</v>
      </c>
      <c r="C21">
        <v>0.4546</v>
      </c>
      <c r="D21">
        <v>0</v>
      </c>
      <c r="E21">
        <v>435652</v>
      </c>
      <c r="F21">
        <v>0.52400000000000002</v>
      </c>
      <c r="G21">
        <v>2</v>
      </c>
      <c r="H21">
        <v>8967</v>
      </c>
      <c r="I21">
        <v>1.0800000000000001E-2</v>
      </c>
      <c r="J21">
        <v>0</v>
      </c>
      <c r="K21">
        <v>0</v>
      </c>
      <c r="L21">
        <v>0</v>
      </c>
      <c r="M21">
        <v>0</v>
      </c>
      <c r="N21">
        <v>5286</v>
      </c>
      <c r="O21">
        <v>6.4000000000000003E-3</v>
      </c>
      <c r="P21">
        <v>0</v>
      </c>
      <c r="Q21">
        <v>3493</v>
      </c>
      <c r="R21">
        <v>4.1999999999999997E-3</v>
      </c>
      <c r="S21">
        <v>0</v>
      </c>
      <c r="T21">
        <v>-57675</v>
      </c>
      <c r="U21">
        <f>T21/W21</f>
        <v>-6.9373026612539468E-2</v>
      </c>
      <c r="V21">
        <v>2.1299999999999999E-2</v>
      </c>
      <c r="W21">
        <v>831375</v>
      </c>
    </row>
    <row r="22" spans="1:23" x14ac:dyDescent="0.2">
      <c r="A22" t="s">
        <v>36</v>
      </c>
      <c r="B22">
        <v>1035550</v>
      </c>
      <c r="C22">
        <v>0.34079999999999999</v>
      </c>
      <c r="D22">
        <v>0</v>
      </c>
      <c r="E22">
        <v>1902577</v>
      </c>
      <c r="F22">
        <v>0.62619999999999998</v>
      </c>
      <c r="G22">
        <v>10</v>
      </c>
      <c r="H22">
        <v>33134</v>
      </c>
      <c r="I22">
        <v>1.09E-2</v>
      </c>
      <c r="J22">
        <v>0</v>
      </c>
      <c r="K22">
        <v>28819</v>
      </c>
      <c r="L22">
        <v>9.4999999999999998E-3</v>
      </c>
      <c r="M22">
        <v>0</v>
      </c>
      <c r="N22">
        <v>15570</v>
      </c>
      <c r="O22">
        <v>5.1000000000000004E-3</v>
      </c>
      <c r="P22">
        <v>0</v>
      </c>
      <c r="Q22">
        <v>22684</v>
      </c>
      <c r="R22">
        <v>7.4999999999999997E-3</v>
      </c>
      <c r="S22">
        <v>0</v>
      </c>
      <c r="T22">
        <v>-867027</v>
      </c>
      <c r="U22">
        <f>T22/W22</f>
        <v>-0.28536263623419938</v>
      </c>
      <c r="V22">
        <v>4.6699999999999998E-2</v>
      </c>
      <c r="W22">
        <v>3038334</v>
      </c>
    </row>
    <row r="23" spans="1:23" x14ac:dyDescent="0.2">
      <c r="A23" t="s">
        <v>37</v>
      </c>
      <c r="B23">
        <v>1251303</v>
      </c>
      <c r="C23">
        <v>0.36020000000000002</v>
      </c>
      <c r="D23">
        <v>0</v>
      </c>
      <c r="E23">
        <v>2126518</v>
      </c>
      <c r="F23">
        <v>0.61219999999999997</v>
      </c>
      <c r="G23">
        <v>11</v>
      </c>
      <c r="H23">
        <v>26545</v>
      </c>
      <c r="I23">
        <v>7.6E-3</v>
      </c>
      <c r="J23">
        <v>0</v>
      </c>
      <c r="K23">
        <v>0</v>
      </c>
      <c r="L23">
        <v>0</v>
      </c>
      <c r="M23">
        <v>0</v>
      </c>
      <c r="N23">
        <v>17735</v>
      </c>
      <c r="O23">
        <v>5.1000000000000004E-3</v>
      </c>
      <c r="P23">
        <v>0</v>
      </c>
      <c r="Q23">
        <v>51567</v>
      </c>
      <c r="R23">
        <v>1.4800000000000001E-2</v>
      </c>
      <c r="S23">
        <v>0</v>
      </c>
      <c r="T23">
        <v>-875215</v>
      </c>
      <c r="U23">
        <f>T23/W23</f>
        <v>-0.2519570091327093</v>
      </c>
      <c r="V23">
        <v>8.2600000000000007E-2</v>
      </c>
      <c r="W23">
        <v>3473668</v>
      </c>
    </row>
    <row r="24" spans="1:23" x14ac:dyDescent="0.2">
      <c r="A24" t="s">
        <v>38</v>
      </c>
      <c r="B24">
        <v>2816636</v>
      </c>
      <c r="C24">
        <v>0.49730000000000002</v>
      </c>
      <c r="D24">
        <v>15</v>
      </c>
      <c r="E24">
        <v>2736533</v>
      </c>
      <c r="F24">
        <v>0.48309999999999997</v>
      </c>
      <c r="G24">
        <v>0</v>
      </c>
      <c r="H24">
        <v>44607</v>
      </c>
      <c r="I24">
        <v>7.9000000000000008E-3</v>
      </c>
      <c r="J24">
        <v>0</v>
      </c>
      <c r="K24">
        <v>26785</v>
      </c>
      <c r="L24">
        <v>4.7000000000000002E-3</v>
      </c>
      <c r="M24">
        <v>0</v>
      </c>
      <c r="N24">
        <v>22440</v>
      </c>
      <c r="O24">
        <v>4.0000000000000001E-3</v>
      </c>
      <c r="P24">
        <v>0</v>
      </c>
      <c r="Q24">
        <v>17185</v>
      </c>
      <c r="R24">
        <v>3.0000000000000001E-3</v>
      </c>
      <c r="S24">
        <v>0</v>
      </c>
      <c r="T24">
        <v>80103</v>
      </c>
      <c r="U24">
        <f>T24/W24</f>
        <v>1.4142014404187999E-2</v>
      </c>
      <c r="V24">
        <v>4.2000000000000003E-2</v>
      </c>
      <c r="W24">
        <v>5664186</v>
      </c>
    </row>
    <row r="25" spans="1:23" x14ac:dyDescent="0.2">
      <c r="A25" t="s">
        <v>39</v>
      </c>
      <c r="B25">
        <v>1519032</v>
      </c>
      <c r="C25">
        <v>0.46679999999999999</v>
      </c>
      <c r="D25">
        <v>0</v>
      </c>
      <c r="E25">
        <v>1656979</v>
      </c>
      <c r="F25">
        <v>0.50919999999999999</v>
      </c>
      <c r="G25">
        <v>10</v>
      </c>
      <c r="H25">
        <v>16275</v>
      </c>
      <c r="I25">
        <v>5.0000000000000001E-3</v>
      </c>
      <c r="J25">
        <v>0</v>
      </c>
      <c r="K25">
        <v>24001</v>
      </c>
      <c r="L25">
        <v>7.4000000000000003E-3</v>
      </c>
      <c r="M25">
        <v>0</v>
      </c>
      <c r="N25">
        <v>15155</v>
      </c>
      <c r="O25">
        <v>4.7000000000000002E-3</v>
      </c>
      <c r="P25">
        <v>0</v>
      </c>
      <c r="Q25">
        <v>22478</v>
      </c>
      <c r="R25">
        <v>6.8999999999999999E-3</v>
      </c>
      <c r="S25">
        <v>0</v>
      </c>
      <c r="T25">
        <v>-137947</v>
      </c>
      <c r="U25">
        <f>T25/W25</f>
        <v>-4.2394096966120863E-2</v>
      </c>
      <c r="V25">
        <v>2.87E-2</v>
      </c>
      <c r="W25">
        <v>3253920</v>
      </c>
    </row>
    <row r="26" spans="1:23" x14ac:dyDescent="0.2">
      <c r="A26" t="s">
        <v>40</v>
      </c>
      <c r="B26">
        <v>747744</v>
      </c>
      <c r="C26">
        <v>0.6089</v>
      </c>
      <c r="D26">
        <v>6</v>
      </c>
      <c r="E26">
        <v>466668</v>
      </c>
      <c r="F26">
        <v>0.38</v>
      </c>
      <c r="G26">
        <v>0</v>
      </c>
      <c r="H26">
        <v>1873</v>
      </c>
      <c r="I26">
        <v>1.5E-3</v>
      </c>
      <c r="J26">
        <v>0</v>
      </c>
      <c r="K26">
        <v>5387</v>
      </c>
      <c r="L26">
        <v>4.4000000000000003E-3</v>
      </c>
      <c r="M26">
        <v>0</v>
      </c>
      <c r="N26">
        <v>2536</v>
      </c>
      <c r="O26">
        <v>2.0999999999999999E-3</v>
      </c>
      <c r="P26">
        <v>0</v>
      </c>
      <c r="Q26">
        <v>3800</v>
      </c>
      <c r="R26">
        <v>3.0999999999999999E-3</v>
      </c>
      <c r="S26">
        <v>0</v>
      </c>
      <c r="T26">
        <v>281076</v>
      </c>
      <c r="U26">
        <f>T26/W26</f>
        <v>0.22888775968886196</v>
      </c>
      <c r="V26">
        <v>6.3399999999999998E-2</v>
      </c>
      <c r="W26">
        <v>1228008</v>
      </c>
    </row>
    <row r="27" spans="1:23" x14ac:dyDescent="0.2">
      <c r="A27" t="s">
        <v>41</v>
      </c>
      <c r="B27">
        <v>1751986</v>
      </c>
      <c r="C27">
        <v>0.58489999999999998</v>
      </c>
      <c r="D27">
        <v>10</v>
      </c>
      <c r="E27">
        <v>1200599</v>
      </c>
      <c r="F27">
        <v>0.40079999999999999</v>
      </c>
      <c r="G27">
        <v>0</v>
      </c>
      <c r="H27">
        <v>17135</v>
      </c>
      <c r="I27">
        <v>5.7000000000000002E-3</v>
      </c>
      <c r="J27">
        <v>0</v>
      </c>
      <c r="K27">
        <v>0</v>
      </c>
      <c r="L27">
        <v>0</v>
      </c>
      <c r="M27">
        <v>0</v>
      </c>
      <c r="N27">
        <v>23876</v>
      </c>
      <c r="O27">
        <v>8.0000000000000002E-3</v>
      </c>
      <c r="P27">
        <v>0</v>
      </c>
      <c r="Q27">
        <v>1731</v>
      </c>
      <c r="R27">
        <v>5.9999999999999995E-4</v>
      </c>
      <c r="S27">
        <v>0</v>
      </c>
      <c r="T27">
        <v>551387</v>
      </c>
      <c r="U27">
        <f>T27/W27</f>
        <v>0.18408240569393591</v>
      </c>
      <c r="V27">
        <v>3.0200000000000001E-2</v>
      </c>
      <c r="W27">
        <v>2995327</v>
      </c>
    </row>
    <row r="28" spans="1:23" x14ac:dyDescent="0.2">
      <c r="A28" t="s">
        <v>42</v>
      </c>
      <c r="B28">
        <v>352079</v>
      </c>
      <c r="C28">
        <v>0.58389999999999997</v>
      </c>
      <c r="D28">
        <v>4</v>
      </c>
      <c r="E28">
        <v>231906</v>
      </c>
      <c r="F28">
        <v>0.3846</v>
      </c>
      <c r="G28">
        <v>0</v>
      </c>
      <c r="H28">
        <v>2878</v>
      </c>
      <c r="I28">
        <v>4.7999999999999996E-3</v>
      </c>
      <c r="J28">
        <v>0</v>
      </c>
      <c r="K28">
        <v>11825</v>
      </c>
      <c r="L28">
        <v>1.9599999999999999E-2</v>
      </c>
      <c r="M28">
        <v>0</v>
      </c>
      <c r="N28">
        <v>4275</v>
      </c>
      <c r="O28">
        <v>7.1000000000000004E-3</v>
      </c>
      <c r="P28">
        <v>0</v>
      </c>
      <c r="Q28">
        <v>27</v>
      </c>
      <c r="R28">
        <v>4.0000000000000003E-5</v>
      </c>
      <c r="S28">
        <v>0</v>
      </c>
      <c r="T28">
        <v>120173</v>
      </c>
      <c r="U28">
        <f>T28/W28</f>
        <v>0.19929517902452776</v>
      </c>
      <c r="V28">
        <v>3.56E-2</v>
      </c>
      <c r="W28">
        <v>602990</v>
      </c>
    </row>
    <row r="29" spans="1:23" x14ac:dyDescent="0.2">
      <c r="A29" t="s">
        <v>67</v>
      </c>
      <c r="B29">
        <v>564816</v>
      </c>
      <c r="C29">
        <v>0.59319999999999995</v>
      </c>
      <c r="D29">
        <v>2</v>
      </c>
      <c r="E29">
        <v>369995</v>
      </c>
      <c r="F29">
        <v>0.3886</v>
      </c>
      <c r="G29">
        <v>0</v>
      </c>
      <c r="H29">
        <v>2887</v>
      </c>
      <c r="I29">
        <v>3.0000000000000001E-3</v>
      </c>
      <c r="J29">
        <v>0</v>
      </c>
      <c r="K29">
        <v>0</v>
      </c>
      <c r="L29">
        <v>0</v>
      </c>
      <c r="M29">
        <v>0</v>
      </c>
      <c r="N29">
        <v>6399</v>
      </c>
      <c r="O29">
        <v>6.7000000000000002E-3</v>
      </c>
      <c r="P29">
        <v>0</v>
      </c>
      <c r="Q29">
        <v>8085</v>
      </c>
      <c r="R29">
        <v>8.5000000000000006E-3</v>
      </c>
      <c r="S29">
        <v>0</v>
      </c>
      <c r="T29">
        <v>194821</v>
      </c>
      <c r="U29">
        <f>T29/W29</f>
        <v>0.20460479194103648</v>
      </c>
      <c r="V29">
        <v>1.4E-2</v>
      </c>
      <c r="W29">
        <v>952182</v>
      </c>
    </row>
    <row r="30" spans="1:23" x14ac:dyDescent="0.2">
      <c r="A30" t="s">
        <v>43</v>
      </c>
      <c r="B30">
        <v>751205</v>
      </c>
      <c r="C30">
        <v>0.50590000000000002</v>
      </c>
      <c r="D30">
        <v>6</v>
      </c>
      <c r="E30">
        <v>705197</v>
      </c>
      <c r="F30">
        <v>0.47489999999999999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6059</v>
      </c>
      <c r="O30">
        <v>4.1000000000000003E-3</v>
      </c>
      <c r="P30">
        <v>0</v>
      </c>
      <c r="Q30">
        <v>22379</v>
      </c>
      <c r="R30">
        <v>1.5100000000000001E-2</v>
      </c>
      <c r="S30">
        <v>0</v>
      </c>
      <c r="T30">
        <v>46008</v>
      </c>
      <c r="U30">
        <f>T30/W30</f>
        <v>3.0985156649874734E-2</v>
      </c>
      <c r="V30">
        <v>5.4899999999999997E-2</v>
      </c>
      <c r="W30">
        <v>1484840</v>
      </c>
    </row>
    <row r="31" spans="1:23" x14ac:dyDescent="0.2">
      <c r="A31" t="s">
        <v>44</v>
      </c>
      <c r="B31">
        <v>395523</v>
      </c>
      <c r="C31">
        <v>0.47870000000000001</v>
      </c>
      <c r="D31">
        <v>0</v>
      </c>
      <c r="E31">
        <v>418488</v>
      </c>
      <c r="F31">
        <v>0.50649999999999995</v>
      </c>
      <c r="G31">
        <v>4</v>
      </c>
      <c r="H31">
        <v>3680</v>
      </c>
      <c r="I31">
        <v>4.4999999999999997E-3</v>
      </c>
      <c r="J31">
        <v>0</v>
      </c>
      <c r="K31">
        <v>0</v>
      </c>
      <c r="L31">
        <v>0</v>
      </c>
      <c r="M31">
        <v>0</v>
      </c>
      <c r="N31">
        <v>4425</v>
      </c>
      <c r="O31">
        <v>5.4000000000000003E-3</v>
      </c>
      <c r="P31">
        <v>0</v>
      </c>
      <c r="Q31">
        <v>4073</v>
      </c>
      <c r="R31">
        <v>4.8999999999999998E-3</v>
      </c>
      <c r="S31">
        <v>0</v>
      </c>
      <c r="T31">
        <v>-22965</v>
      </c>
      <c r="U31">
        <f>T31/W31</f>
        <v>-2.7796303267170103E-2</v>
      </c>
      <c r="V31">
        <v>4.5699999999999998E-2</v>
      </c>
      <c r="W31">
        <v>826189</v>
      </c>
    </row>
    <row r="32" spans="1:23" x14ac:dyDescent="0.2">
      <c r="A32" t="s">
        <v>45</v>
      </c>
      <c r="B32">
        <v>1968215</v>
      </c>
      <c r="C32">
        <v>0.46060000000000001</v>
      </c>
      <c r="D32">
        <v>0</v>
      </c>
      <c r="E32">
        <v>2220713</v>
      </c>
      <c r="F32">
        <v>0.51970000000000005</v>
      </c>
      <c r="G32">
        <v>14</v>
      </c>
      <c r="H32">
        <v>39041</v>
      </c>
      <c r="I32">
        <v>9.1000000000000004E-3</v>
      </c>
      <c r="J32">
        <v>0</v>
      </c>
      <c r="K32">
        <v>23479</v>
      </c>
      <c r="L32">
        <v>5.4999999999999997E-3</v>
      </c>
      <c r="M32">
        <v>0</v>
      </c>
      <c r="N32">
        <v>10500</v>
      </c>
      <c r="O32">
        <v>2.5000000000000001E-3</v>
      </c>
      <c r="P32">
        <v>0</v>
      </c>
      <c r="Q32">
        <v>10777</v>
      </c>
      <c r="R32">
        <v>2.5000000000000001E-3</v>
      </c>
      <c r="S32">
        <v>0</v>
      </c>
      <c r="T32">
        <v>-252498</v>
      </c>
      <c r="U32">
        <f>T32/W32</f>
        <v>-5.9095308029419168E-2</v>
      </c>
      <c r="V32">
        <v>0.1003</v>
      </c>
      <c r="W32">
        <v>4272725</v>
      </c>
    </row>
    <row r="33" spans="1:23" x14ac:dyDescent="0.2">
      <c r="A33" t="s">
        <v>46</v>
      </c>
      <c r="B33">
        <v>423391</v>
      </c>
      <c r="C33">
        <v>0.45850000000000002</v>
      </c>
      <c r="D33">
        <v>0</v>
      </c>
      <c r="E33">
        <v>478802</v>
      </c>
      <c r="F33">
        <v>0.51849999999999996</v>
      </c>
      <c r="G33">
        <v>5</v>
      </c>
      <c r="H33">
        <v>4611</v>
      </c>
      <c r="I33">
        <v>5.0000000000000001E-3</v>
      </c>
      <c r="J33">
        <v>0</v>
      </c>
      <c r="K33">
        <v>9553</v>
      </c>
      <c r="L33">
        <v>1.03E-2</v>
      </c>
      <c r="M33">
        <v>0</v>
      </c>
      <c r="N33">
        <v>3745</v>
      </c>
      <c r="O33">
        <v>4.1000000000000003E-3</v>
      </c>
      <c r="P33">
        <v>0</v>
      </c>
      <c r="Q33">
        <v>3301</v>
      </c>
      <c r="R33">
        <v>3.5999999999999999E-3</v>
      </c>
      <c r="S33">
        <v>0</v>
      </c>
      <c r="T33">
        <v>-55411</v>
      </c>
      <c r="U33">
        <f>T33/W33</f>
        <v>-6.0007385724326213E-2</v>
      </c>
      <c r="V33">
        <v>4.7899999999999998E-2</v>
      </c>
      <c r="W33">
        <v>923403</v>
      </c>
    </row>
    <row r="34" spans="1:23" x14ac:dyDescent="0.2">
      <c r="A34" t="s">
        <v>47</v>
      </c>
      <c r="B34">
        <v>3578899</v>
      </c>
      <c r="C34">
        <v>0.43309999999999998</v>
      </c>
      <c r="D34">
        <v>0</v>
      </c>
      <c r="E34">
        <v>4619195</v>
      </c>
      <c r="F34">
        <v>0.55910000000000004</v>
      </c>
      <c r="G34">
        <v>28</v>
      </c>
      <c r="H34">
        <v>46698</v>
      </c>
      <c r="I34">
        <v>5.7000000000000002E-3</v>
      </c>
      <c r="J34">
        <v>0</v>
      </c>
      <c r="K34">
        <v>0</v>
      </c>
      <c r="L34">
        <v>0</v>
      </c>
      <c r="M34">
        <v>0</v>
      </c>
      <c r="N34">
        <v>5338</v>
      </c>
      <c r="O34">
        <v>5.9999999999999995E-4</v>
      </c>
      <c r="P34">
        <v>0</v>
      </c>
      <c r="Q34">
        <v>12365</v>
      </c>
      <c r="R34">
        <v>1.5E-3</v>
      </c>
      <c r="S34">
        <v>0</v>
      </c>
      <c r="T34">
        <v>-1040296</v>
      </c>
      <c r="U34">
        <f>T34/W34</f>
        <v>-0.12590579479927069</v>
      </c>
      <c r="V34">
        <v>0.1053</v>
      </c>
      <c r="W34">
        <v>8262495</v>
      </c>
    </row>
    <row r="35" spans="1:23" x14ac:dyDescent="0.2">
      <c r="A35" t="s">
        <v>48</v>
      </c>
      <c r="B35">
        <v>2898423</v>
      </c>
      <c r="C35">
        <v>0.50860000000000005</v>
      </c>
      <c r="D35">
        <v>16</v>
      </c>
      <c r="E35">
        <v>2715375</v>
      </c>
      <c r="F35">
        <v>0.47649999999999998</v>
      </c>
      <c r="G35">
        <v>0</v>
      </c>
      <c r="H35">
        <v>24762</v>
      </c>
      <c r="I35">
        <v>4.3E-3</v>
      </c>
      <c r="J35">
        <v>0</v>
      </c>
      <c r="K35">
        <v>0</v>
      </c>
      <c r="L35">
        <v>0</v>
      </c>
      <c r="M35">
        <v>0</v>
      </c>
      <c r="N35">
        <v>22125</v>
      </c>
      <c r="O35">
        <v>3.8999999999999998E-3</v>
      </c>
      <c r="P35">
        <v>0</v>
      </c>
      <c r="Q35">
        <v>38456</v>
      </c>
      <c r="R35">
        <v>6.7000000000000002E-3</v>
      </c>
      <c r="S35">
        <v>0</v>
      </c>
      <c r="T35">
        <v>183048</v>
      </c>
      <c r="U35">
        <f>T35/W35</f>
        <v>3.2118524528521056E-2</v>
      </c>
      <c r="V35">
        <v>1.8599999999999998E-2</v>
      </c>
      <c r="W35">
        <v>5699141</v>
      </c>
    </row>
    <row r="36" spans="1:23" x14ac:dyDescent="0.2">
      <c r="A36" t="s">
        <v>49</v>
      </c>
      <c r="B36">
        <v>246505</v>
      </c>
      <c r="C36">
        <v>0.66959999999999997</v>
      </c>
      <c r="D36">
        <v>3</v>
      </c>
      <c r="E36">
        <v>112327</v>
      </c>
      <c r="F36">
        <v>0.30509999999999998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6227</v>
      </c>
      <c r="O36">
        <v>1.6899999999999998E-2</v>
      </c>
      <c r="P36">
        <v>0</v>
      </c>
      <c r="Q36">
        <v>3096</v>
      </c>
      <c r="R36">
        <v>8.3999999999999995E-3</v>
      </c>
      <c r="S36">
        <v>0</v>
      </c>
      <c r="T36">
        <v>134178</v>
      </c>
      <c r="U36">
        <f>T36/W36</f>
        <v>0.36446062120574213</v>
      </c>
      <c r="V36">
        <v>3.1099999999999999E-2</v>
      </c>
      <c r="W36">
        <v>368155</v>
      </c>
    </row>
    <row r="37" spans="1:23" x14ac:dyDescent="0.2">
      <c r="A37" t="s">
        <v>50</v>
      </c>
      <c r="B37">
        <v>3180116</v>
      </c>
      <c r="C37">
        <v>0.5514</v>
      </c>
      <c r="D37">
        <v>17</v>
      </c>
      <c r="E37">
        <v>2533699</v>
      </c>
      <c r="F37">
        <v>0.43930000000000002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28200</v>
      </c>
      <c r="O37">
        <v>4.8999999999999998E-3</v>
      </c>
      <c r="P37">
        <v>0</v>
      </c>
      <c r="Q37">
        <v>25773</v>
      </c>
      <c r="R37">
        <v>4.4999999999999997E-3</v>
      </c>
      <c r="S37">
        <v>0</v>
      </c>
      <c r="T37">
        <v>646417</v>
      </c>
      <c r="U37">
        <f>T37/W37</f>
        <v>0.11207364070940194</v>
      </c>
      <c r="V37">
        <v>3.1800000000000002E-2</v>
      </c>
      <c r="W37">
        <v>5767788</v>
      </c>
    </row>
    <row r="38" spans="1:23" x14ac:dyDescent="0.2">
      <c r="A38" t="s">
        <v>51</v>
      </c>
      <c r="B38">
        <v>1036213</v>
      </c>
      <c r="C38">
        <v>0.66159999999999997</v>
      </c>
      <c r="D38">
        <v>7</v>
      </c>
      <c r="E38">
        <v>499599</v>
      </c>
      <c r="F38">
        <v>0.31900000000000001</v>
      </c>
      <c r="G38">
        <v>0</v>
      </c>
      <c r="H38">
        <v>0</v>
      </c>
      <c r="I38">
        <v>0</v>
      </c>
      <c r="J38">
        <v>0</v>
      </c>
      <c r="K38">
        <v>16020</v>
      </c>
      <c r="L38">
        <v>1.0200000000000001E-2</v>
      </c>
      <c r="M38">
        <v>0</v>
      </c>
      <c r="N38">
        <v>9198</v>
      </c>
      <c r="O38">
        <v>5.8999999999999999E-3</v>
      </c>
      <c r="P38">
        <v>0</v>
      </c>
      <c r="Q38">
        <v>5143</v>
      </c>
      <c r="R38">
        <v>3.3E-3</v>
      </c>
      <c r="S38">
        <v>0</v>
      </c>
      <c r="T38">
        <v>536614</v>
      </c>
      <c r="U38">
        <f>T38/W38</f>
        <v>0.34262753859247991</v>
      </c>
      <c r="V38">
        <v>1.17E-2</v>
      </c>
      <c r="W38">
        <v>1566173</v>
      </c>
    </row>
    <row r="39" spans="1:23" x14ac:dyDescent="0.2">
      <c r="A39" t="s">
        <v>52</v>
      </c>
      <c r="B39">
        <v>919480</v>
      </c>
      <c r="C39">
        <v>0.40970000000000001</v>
      </c>
      <c r="D39">
        <v>0</v>
      </c>
      <c r="E39">
        <v>1240600</v>
      </c>
      <c r="F39">
        <v>0.55269999999999997</v>
      </c>
      <c r="G39">
        <v>8</v>
      </c>
      <c r="H39">
        <v>19099</v>
      </c>
      <c r="I39">
        <v>8.5000000000000006E-3</v>
      </c>
      <c r="J39">
        <v>0</v>
      </c>
      <c r="K39">
        <v>33733</v>
      </c>
      <c r="L39">
        <v>1.4999999999999999E-2</v>
      </c>
      <c r="M39">
        <v>0</v>
      </c>
      <c r="N39">
        <v>9061</v>
      </c>
      <c r="O39">
        <v>4.0000000000000001E-3</v>
      </c>
      <c r="P39">
        <v>0</v>
      </c>
      <c r="Q39">
        <v>22520</v>
      </c>
      <c r="R39">
        <v>0.01</v>
      </c>
      <c r="S39">
        <v>0</v>
      </c>
      <c r="T39">
        <v>-321120</v>
      </c>
      <c r="U39">
        <f>T39/W39</f>
        <v>-0.14307017219478965</v>
      </c>
      <c r="V39">
        <v>1.7899999999999999E-2</v>
      </c>
      <c r="W39">
        <v>2244493</v>
      </c>
    </row>
    <row r="40" spans="1:23" x14ac:dyDescent="0.2">
      <c r="A40" t="s">
        <v>53</v>
      </c>
      <c r="B40">
        <v>3543308</v>
      </c>
      <c r="C40">
        <v>0.50370000000000004</v>
      </c>
      <c r="D40">
        <v>19</v>
      </c>
      <c r="E40">
        <v>3423042</v>
      </c>
      <c r="F40">
        <v>0.48659999999999998</v>
      </c>
      <c r="G40">
        <v>0</v>
      </c>
      <c r="H40">
        <v>34538</v>
      </c>
      <c r="I40">
        <v>4.8999999999999998E-3</v>
      </c>
      <c r="J40">
        <v>0</v>
      </c>
      <c r="K40">
        <v>0</v>
      </c>
      <c r="L40">
        <v>0</v>
      </c>
      <c r="M40">
        <v>0</v>
      </c>
      <c r="N40">
        <v>33318</v>
      </c>
      <c r="O40">
        <v>4.7000000000000002E-3</v>
      </c>
      <c r="P40">
        <v>0</v>
      </c>
      <c r="Q40">
        <v>24526</v>
      </c>
      <c r="R40">
        <v>3.5000000000000001E-3</v>
      </c>
      <c r="S40">
        <v>0</v>
      </c>
      <c r="T40">
        <v>120266</v>
      </c>
      <c r="U40">
        <f>T40/W40</f>
        <v>1.7037904258158546E-2</v>
      </c>
      <c r="V40">
        <v>2.87E-2</v>
      </c>
      <c r="W40">
        <v>7058732</v>
      </c>
    </row>
    <row r="41" spans="1:23" x14ac:dyDescent="0.2">
      <c r="A41" t="s">
        <v>54</v>
      </c>
      <c r="B41">
        <v>214406</v>
      </c>
      <c r="C41">
        <v>0.41760000000000003</v>
      </c>
      <c r="D41">
        <v>0</v>
      </c>
      <c r="E41">
        <v>285156</v>
      </c>
      <c r="F41">
        <v>0.5554</v>
      </c>
      <c r="G41">
        <v>4</v>
      </c>
      <c r="H41">
        <v>2900</v>
      </c>
      <c r="I41">
        <v>5.5999999999999999E-3</v>
      </c>
      <c r="J41">
        <v>0</v>
      </c>
      <c r="K41">
        <v>5045</v>
      </c>
      <c r="L41">
        <v>9.7999999999999997E-3</v>
      </c>
      <c r="M41">
        <v>0</v>
      </c>
      <c r="N41">
        <v>1617</v>
      </c>
      <c r="O41">
        <v>3.0999999999999999E-3</v>
      </c>
      <c r="P41">
        <v>0</v>
      </c>
      <c r="Q41">
        <v>4262</v>
      </c>
      <c r="R41">
        <v>8.3000000000000001E-3</v>
      </c>
      <c r="S41">
        <v>0</v>
      </c>
      <c r="T41">
        <v>-70750</v>
      </c>
      <c r="U41">
        <f>T41/W41</f>
        <v>-0.13781053632159818</v>
      </c>
      <c r="V41">
        <v>7.0000000000000007E-2</v>
      </c>
      <c r="W41">
        <v>513386</v>
      </c>
    </row>
    <row r="42" spans="1:23" x14ac:dyDescent="0.2">
      <c r="A42" t="s">
        <v>55</v>
      </c>
      <c r="B42">
        <v>1483747</v>
      </c>
      <c r="C42">
        <v>0.58230000000000004</v>
      </c>
      <c r="D42">
        <v>9</v>
      </c>
      <c r="E42">
        <v>1028452</v>
      </c>
      <c r="F42">
        <v>0.40360000000000001</v>
      </c>
      <c r="G42">
        <v>0</v>
      </c>
      <c r="H42">
        <v>8117</v>
      </c>
      <c r="I42">
        <v>3.2000000000000002E-3</v>
      </c>
      <c r="J42">
        <v>0</v>
      </c>
      <c r="K42">
        <v>0</v>
      </c>
      <c r="L42">
        <v>0</v>
      </c>
      <c r="M42">
        <v>0</v>
      </c>
      <c r="N42">
        <v>12669</v>
      </c>
      <c r="O42">
        <v>5.0000000000000001E-3</v>
      </c>
      <c r="P42">
        <v>0</v>
      </c>
      <c r="Q42">
        <v>15155</v>
      </c>
      <c r="R42">
        <v>5.8999999999999999E-3</v>
      </c>
      <c r="S42">
        <v>0</v>
      </c>
      <c r="T42">
        <v>455295</v>
      </c>
      <c r="U42">
        <f>T42/W42</f>
        <v>0.17867738821257859</v>
      </c>
      <c r="V42">
        <v>6.1899999999999997E-2</v>
      </c>
      <c r="W42">
        <v>2548140</v>
      </c>
    </row>
    <row r="43" spans="1:23" x14ac:dyDescent="0.2">
      <c r="A43" t="s">
        <v>56</v>
      </c>
      <c r="B43">
        <v>272081</v>
      </c>
      <c r="C43">
        <v>0.63429999999999997</v>
      </c>
      <c r="D43">
        <v>3</v>
      </c>
      <c r="E43">
        <v>146859</v>
      </c>
      <c r="F43">
        <v>0.34239999999999998</v>
      </c>
      <c r="G43">
        <v>0</v>
      </c>
      <c r="H43">
        <v>0</v>
      </c>
      <c r="I43">
        <v>0</v>
      </c>
      <c r="J43">
        <v>0</v>
      </c>
      <c r="K43">
        <v>7204</v>
      </c>
      <c r="L43">
        <v>1.6799999999999999E-2</v>
      </c>
      <c r="M43">
        <v>0</v>
      </c>
      <c r="N43">
        <v>2778</v>
      </c>
      <c r="O43">
        <v>6.4999999999999997E-3</v>
      </c>
      <c r="P43">
        <v>0</v>
      </c>
      <c r="Q43">
        <v>0</v>
      </c>
      <c r="R43">
        <v>0</v>
      </c>
      <c r="S43">
        <v>0</v>
      </c>
      <c r="T43">
        <v>125222</v>
      </c>
      <c r="U43">
        <f>T43/W43</f>
        <v>0.29194585495731157</v>
      </c>
      <c r="V43">
        <v>3.0300000000000001E-2</v>
      </c>
      <c r="W43">
        <v>428922</v>
      </c>
    </row>
    <row r="44" spans="1:23" x14ac:dyDescent="0.2">
      <c r="A44" t="s">
        <v>57</v>
      </c>
      <c r="B44">
        <v>1966865</v>
      </c>
      <c r="C44">
        <v>0.64190000000000003</v>
      </c>
      <c r="D44">
        <v>11</v>
      </c>
      <c r="E44">
        <v>1056265</v>
      </c>
      <c r="F44">
        <v>0.34470000000000001</v>
      </c>
      <c r="G44">
        <v>0</v>
      </c>
      <c r="H44">
        <v>8967</v>
      </c>
      <c r="I44">
        <v>2.8999999999999998E-3</v>
      </c>
      <c r="J44">
        <v>0</v>
      </c>
      <c r="K44">
        <v>21535</v>
      </c>
      <c r="L44">
        <v>7.0000000000000001E-3</v>
      </c>
      <c r="M44">
        <v>0</v>
      </c>
      <c r="N44">
        <v>0</v>
      </c>
      <c r="O44">
        <v>0</v>
      </c>
      <c r="P44">
        <v>0</v>
      </c>
      <c r="Q44">
        <v>10310</v>
      </c>
      <c r="R44">
        <v>3.3999999999999998E-3</v>
      </c>
      <c r="S44">
        <v>0</v>
      </c>
      <c r="T44">
        <v>910600</v>
      </c>
      <c r="U44">
        <f>T44/W44</f>
        <v>0.29719883731480556</v>
      </c>
      <c r="V44">
        <v>6.5100000000000005E-2</v>
      </c>
      <c r="W44">
        <v>3063942</v>
      </c>
    </row>
    <row r="45" spans="1:23" x14ac:dyDescent="0.2">
      <c r="A45" t="s">
        <v>58</v>
      </c>
      <c r="B45">
        <v>6393597</v>
      </c>
      <c r="C45">
        <v>0.56140000000000001</v>
      </c>
      <c r="D45">
        <v>40</v>
      </c>
      <c r="E45">
        <v>4835250</v>
      </c>
      <c r="F45">
        <v>0.42459999999999998</v>
      </c>
      <c r="G45">
        <v>0</v>
      </c>
      <c r="H45">
        <v>82701</v>
      </c>
      <c r="I45">
        <v>7.3000000000000001E-3</v>
      </c>
      <c r="J45">
        <v>0</v>
      </c>
      <c r="K45">
        <v>0</v>
      </c>
      <c r="L45">
        <v>0</v>
      </c>
      <c r="M45">
        <v>0</v>
      </c>
      <c r="N45">
        <v>68557</v>
      </c>
      <c r="O45">
        <v>6.0000000000000001E-3</v>
      </c>
      <c r="P45">
        <v>0</v>
      </c>
      <c r="Q45">
        <v>8569</v>
      </c>
      <c r="R45">
        <v>8.0000000000000004E-4</v>
      </c>
      <c r="S45">
        <v>0</v>
      </c>
      <c r="T45">
        <v>1558347</v>
      </c>
      <c r="U45">
        <f>T45/W45</f>
        <v>0.13683305009872088</v>
      </c>
      <c r="V45">
        <v>8.1000000000000003E-2</v>
      </c>
      <c r="W45">
        <v>11388674</v>
      </c>
    </row>
    <row r="46" spans="1:23" x14ac:dyDescent="0.2">
      <c r="A46" t="s">
        <v>59</v>
      </c>
      <c r="B46">
        <v>883818</v>
      </c>
      <c r="C46">
        <v>0.59379999999999999</v>
      </c>
      <c r="D46">
        <v>6</v>
      </c>
      <c r="E46">
        <v>562566</v>
      </c>
      <c r="F46">
        <v>0.37790000000000001</v>
      </c>
      <c r="G46">
        <v>0</v>
      </c>
      <c r="H46">
        <v>8222</v>
      </c>
      <c r="I46">
        <v>5.4999999999999997E-3</v>
      </c>
      <c r="J46">
        <v>0</v>
      </c>
      <c r="K46">
        <v>0</v>
      </c>
      <c r="L46">
        <v>0</v>
      </c>
      <c r="M46">
        <v>0</v>
      </c>
      <c r="N46">
        <v>16902</v>
      </c>
      <c r="O46">
        <v>1.14E-2</v>
      </c>
      <c r="P46">
        <v>0</v>
      </c>
      <c r="Q46">
        <v>16986</v>
      </c>
      <c r="R46">
        <v>1.14E-2</v>
      </c>
      <c r="S46">
        <v>0</v>
      </c>
      <c r="T46">
        <v>321252</v>
      </c>
      <c r="U46">
        <f>T46/W46</f>
        <v>0.21582351020561721</v>
      </c>
      <c r="V46">
        <v>1.11E-2</v>
      </c>
      <c r="W46">
        <v>1488494</v>
      </c>
    </row>
    <row r="47" spans="1:23" x14ac:dyDescent="0.2">
      <c r="A47" t="s">
        <v>60</v>
      </c>
      <c r="B47">
        <v>119395</v>
      </c>
      <c r="C47">
        <v>0.32319999999999999</v>
      </c>
      <c r="D47">
        <v>0</v>
      </c>
      <c r="E47">
        <v>235791</v>
      </c>
      <c r="F47">
        <v>0.63829999999999998</v>
      </c>
      <c r="G47">
        <v>3</v>
      </c>
      <c r="H47">
        <v>893</v>
      </c>
      <c r="I47">
        <v>2.3999999999999998E-3</v>
      </c>
      <c r="J47">
        <v>0</v>
      </c>
      <c r="K47">
        <v>5905</v>
      </c>
      <c r="L47">
        <v>1.6E-2</v>
      </c>
      <c r="M47">
        <v>0</v>
      </c>
      <c r="N47">
        <v>1828</v>
      </c>
      <c r="O47">
        <v>4.8999999999999998E-3</v>
      </c>
      <c r="P47">
        <v>0</v>
      </c>
      <c r="Q47">
        <v>5610</v>
      </c>
      <c r="R47">
        <v>1.52E-2</v>
      </c>
      <c r="S47">
        <v>0</v>
      </c>
      <c r="T47">
        <v>-116396</v>
      </c>
      <c r="U47">
        <f>T47/W47</f>
        <v>-0.31507598356351274</v>
      </c>
      <c r="V47">
        <v>3.9E-2</v>
      </c>
      <c r="W47">
        <v>369422</v>
      </c>
    </row>
    <row r="48" spans="1:23" x14ac:dyDescent="0.2">
      <c r="A48" t="s">
        <v>61</v>
      </c>
      <c r="B48">
        <v>2075085</v>
      </c>
      <c r="C48">
        <v>0.46050000000000002</v>
      </c>
      <c r="D48">
        <v>0</v>
      </c>
      <c r="E48">
        <v>2335395</v>
      </c>
      <c r="F48">
        <v>0.51829999999999998</v>
      </c>
      <c r="G48">
        <v>13</v>
      </c>
      <c r="H48">
        <v>34888</v>
      </c>
      <c r="I48">
        <v>7.7000000000000002E-3</v>
      </c>
      <c r="J48">
        <v>0</v>
      </c>
      <c r="K48">
        <v>0</v>
      </c>
      <c r="L48">
        <v>0</v>
      </c>
      <c r="M48">
        <v>0</v>
      </c>
      <c r="N48">
        <v>19814</v>
      </c>
      <c r="O48">
        <v>4.4000000000000003E-3</v>
      </c>
      <c r="P48">
        <v>0</v>
      </c>
      <c r="Q48">
        <v>40759</v>
      </c>
      <c r="R48">
        <v>8.9999999999999993E-3</v>
      </c>
      <c r="S48">
        <v>0</v>
      </c>
      <c r="T48">
        <v>-260310</v>
      </c>
      <c r="U48">
        <f>T48/W48</f>
        <v>-5.7770396904886237E-2</v>
      </c>
      <c r="V48">
        <v>4.3499999999999997E-2</v>
      </c>
      <c r="W48">
        <v>4505941</v>
      </c>
    </row>
    <row r="49" spans="1:23" x14ac:dyDescent="0.2">
      <c r="A49" t="s">
        <v>62</v>
      </c>
      <c r="B49">
        <v>1530923</v>
      </c>
      <c r="C49">
        <v>0.3901</v>
      </c>
      <c r="D49">
        <v>0</v>
      </c>
      <c r="E49">
        <v>2245849</v>
      </c>
      <c r="F49">
        <v>0.57230000000000003</v>
      </c>
      <c r="G49">
        <v>12</v>
      </c>
      <c r="H49">
        <v>29754</v>
      </c>
      <c r="I49">
        <v>7.6E-3</v>
      </c>
      <c r="J49">
        <v>0</v>
      </c>
      <c r="K49">
        <v>54868</v>
      </c>
      <c r="L49">
        <v>1.4E-2</v>
      </c>
      <c r="M49">
        <v>0</v>
      </c>
      <c r="N49">
        <v>16428</v>
      </c>
      <c r="O49">
        <v>4.1999999999999997E-3</v>
      </c>
      <c r="P49">
        <v>0</v>
      </c>
      <c r="Q49">
        <v>46421</v>
      </c>
      <c r="R49">
        <v>1.18E-2</v>
      </c>
      <c r="S49">
        <v>0</v>
      </c>
      <c r="T49">
        <v>-714926</v>
      </c>
      <c r="U49">
        <f>T49/W49</f>
        <v>-0.18218188832852603</v>
      </c>
      <c r="V49">
        <v>9.7999999999999997E-3</v>
      </c>
      <c r="W49">
        <v>3924243</v>
      </c>
    </row>
    <row r="50" spans="1:23" x14ac:dyDescent="0.2">
      <c r="A50" t="s">
        <v>63</v>
      </c>
      <c r="B50">
        <v>533556</v>
      </c>
      <c r="C50">
        <v>0.69969999999999999</v>
      </c>
      <c r="D50">
        <v>4</v>
      </c>
      <c r="E50">
        <v>214309</v>
      </c>
      <c r="F50">
        <v>0.28100000000000003</v>
      </c>
      <c r="G50">
        <v>0</v>
      </c>
      <c r="H50">
        <v>2531</v>
      </c>
      <c r="I50">
        <v>3.3E-3</v>
      </c>
      <c r="J50">
        <v>0</v>
      </c>
      <c r="K50">
        <v>8947</v>
      </c>
      <c r="L50">
        <v>1.17E-2</v>
      </c>
      <c r="M50">
        <v>0</v>
      </c>
      <c r="N50">
        <v>3047</v>
      </c>
      <c r="O50">
        <v>4.0000000000000001E-3</v>
      </c>
      <c r="P50">
        <v>0</v>
      </c>
      <c r="Q50">
        <v>192</v>
      </c>
      <c r="R50">
        <v>2.9999999999999997E-4</v>
      </c>
      <c r="S50">
        <v>0</v>
      </c>
      <c r="T50">
        <v>319247</v>
      </c>
      <c r="U50">
        <f>T50/W50</f>
        <v>0.41863956925288037</v>
      </c>
      <c r="V50">
        <v>2.9399999999999999E-2</v>
      </c>
      <c r="W50">
        <v>762582</v>
      </c>
    </row>
    <row r="51" spans="1:23" x14ac:dyDescent="0.2">
      <c r="A51" t="s">
        <v>64</v>
      </c>
      <c r="B51">
        <v>1697626</v>
      </c>
      <c r="C51">
        <v>0.496</v>
      </c>
      <c r="D51">
        <v>10</v>
      </c>
      <c r="E51">
        <v>1668229</v>
      </c>
      <c r="F51">
        <v>0.4874</v>
      </c>
      <c r="G51">
        <v>0</v>
      </c>
      <c r="H51">
        <v>12275</v>
      </c>
      <c r="I51">
        <v>3.5999999999999999E-3</v>
      </c>
      <c r="J51">
        <v>0</v>
      </c>
      <c r="K51">
        <v>17740</v>
      </c>
      <c r="L51">
        <v>5.1999999999999998E-3</v>
      </c>
      <c r="M51">
        <v>0</v>
      </c>
      <c r="N51">
        <v>10511</v>
      </c>
      <c r="O51">
        <v>3.0999999999999999E-3</v>
      </c>
      <c r="P51">
        <v>0</v>
      </c>
      <c r="Q51">
        <v>16537</v>
      </c>
      <c r="R51">
        <v>4.7999999999999996E-3</v>
      </c>
      <c r="S51">
        <v>0</v>
      </c>
      <c r="T51">
        <v>29397</v>
      </c>
      <c r="U51">
        <f>T51/W51</f>
        <v>8.5882863685311766E-3</v>
      </c>
      <c r="V51">
        <v>1.49E-2</v>
      </c>
      <c r="W51">
        <v>3422918</v>
      </c>
    </row>
    <row r="52" spans="1:23" x14ac:dyDescent="0.2">
      <c r="A52" t="s">
        <v>65</v>
      </c>
      <c r="B52">
        <v>192633</v>
      </c>
      <c r="C52">
        <v>0.71599999999999997</v>
      </c>
      <c r="D52">
        <v>3</v>
      </c>
      <c r="E52">
        <v>69527</v>
      </c>
      <c r="F52">
        <v>0.25840000000000002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4193</v>
      </c>
      <c r="O52">
        <v>1.5599999999999999E-2</v>
      </c>
      <c r="P52">
        <v>0</v>
      </c>
      <c r="Q52">
        <v>2695</v>
      </c>
      <c r="R52">
        <v>0.01</v>
      </c>
      <c r="S52">
        <v>0</v>
      </c>
      <c r="T52">
        <v>123106</v>
      </c>
      <c r="U52">
        <f>T52/W52</f>
        <v>0.45756147601914898</v>
      </c>
      <c r="V52">
        <v>2.3800000000000002E-2</v>
      </c>
      <c r="W52">
        <v>269048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Healy</dc:creator>
  <cp:lastModifiedBy>Kieran Healy</cp:lastModifiedBy>
  <dcterms:created xsi:type="dcterms:W3CDTF">2026-02-01T18:21:53Z</dcterms:created>
  <dcterms:modified xsi:type="dcterms:W3CDTF">2026-02-01T19:03:00Z</dcterms:modified>
</cp:coreProperties>
</file>